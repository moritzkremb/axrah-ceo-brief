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I Calculator" sheetId="1" state="visible" r:id="rId1"/>
  </sheets>
  <definedNames>
    <definedName name="_xlnm.Print_Area" localSheetId="0">'ROI Calculator'!$A$1:$G$40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&quot;$&quot;#,##0.00"/>
    <numFmt numFmtId="166" formatCode="0.0 &quot;month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8EA0B4"/>
      <sz val="9"/>
    </font>
    <font>
      <name val="Calibri"/>
      <b val="1"/>
      <color rgb="00FFFFFF"/>
      <sz val="9"/>
    </font>
    <font>
      <name val="Calibri"/>
      <color rgb="001A2B40"/>
      <sz val="9"/>
    </font>
    <font>
      <name val="Calibri"/>
      <b val="1"/>
      <color rgb="00C8102E"/>
      <sz val="10"/>
    </font>
    <font>
      <name val="Calibri"/>
      <color rgb="00FFFFFF"/>
      <sz val="9"/>
    </font>
    <font>
      <name val="Calibri"/>
      <b val="1"/>
      <color rgb="000F1B2D"/>
      <sz val="10"/>
    </font>
    <font>
      <name val="Calibri"/>
      <color rgb="000F1B2D"/>
      <sz val="10"/>
    </font>
    <font>
      <name val="Calibri"/>
      <b val="1"/>
      <color rgb="000F1B2D"/>
      <sz val="11"/>
    </font>
    <font>
      <name val="Calibri"/>
      <b val="1"/>
      <color rgb="001A2B40"/>
      <sz val="9"/>
    </font>
    <font>
      <name val="Calibri"/>
      <b val="1"/>
      <color rgb="00C8102E"/>
      <sz val="13"/>
    </font>
    <font>
      <name val="Calibri"/>
      <i val="1"/>
      <color rgb="006B7C93"/>
      <sz val="8"/>
    </font>
  </fonts>
  <fills count="11">
    <fill>
      <patternFill/>
    </fill>
    <fill>
      <patternFill patternType="gray125"/>
    </fill>
    <fill>
      <patternFill patternType="solid">
        <fgColor rgb="000F1B2D"/>
      </patternFill>
    </fill>
    <fill>
      <patternFill patternType="solid">
        <fgColor rgb="001A2B40"/>
      </patternFill>
    </fill>
    <fill>
      <patternFill patternType="solid">
        <fgColor rgb="00F7F9FC"/>
      </patternFill>
    </fill>
    <fill>
      <patternFill patternType="solid">
        <fgColor rgb="00FFFBEF"/>
      </patternFill>
    </fill>
    <fill>
      <patternFill patternType="solid">
        <fgColor rgb="00FFFFFF"/>
      </patternFill>
    </fill>
    <fill>
      <patternFill patternType="solid">
        <fgColor rgb="00F0F6FF"/>
      </patternFill>
    </fill>
    <fill>
      <patternFill patternType="solid">
        <fgColor rgb="00E6F7F0"/>
      </patternFill>
    </fill>
    <fill>
      <patternFill patternType="solid">
        <fgColor rgb="00C8102E"/>
      </patternFill>
    </fill>
    <fill>
      <patternFill patternType="solid">
        <fgColor rgb="00FFF0F2"/>
      </patternFill>
    </fill>
  </fills>
  <borders count="4">
    <border>
      <left/>
      <right/>
      <top/>
      <bottom/>
      <diagonal/>
    </border>
    <border>
      <left style="thin">
        <color rgb="00D0D8E4"/>
      </left>
      <right style="thin">
        <color rgb="00D0D8E4"/>
      </right>
      <top style="thin">
        <color rgb="00D0D8E4"/>
      </top>
      <bottom style="thin">
        <color rgb="00D0D8E4"/>
      </bottom>
    </border>
    <border>
      <left style="medium">
        <color rgb="00C8102E"/>
      </left>
      <right style="thin">
        <color rgb="00D0D8E4"/>
      </right>
      <top style="thin">
        <color rgb="00D0D8E4"/>
      </top>
      <bottom style="thin">
        <color rgb="00D0D8E4"/>
      </bottom>
    </border>
    <border>
      <left style="medium">
        <color rgb="00C8102E"/>
      </left>
      <right style="medium">
        <color rgb="00C8102E"/>
      </right>
      <top style="medium">
        <color rgb="00C8102E"/>
      </top>
      <bottom style="medium">
        <color rgb="00C8102E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3" fillId="9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5" borderId="2" applyAlignment="1" applyProtection="1" pivotButton="0" quotePrefix="0" xfId="0">
      <alignment horizontal="center" vertical="center"/>
      <protection locked="0" hidden="0"/>
    </xf>
    <xf numFmtId="1" fontId="8" fillId="7" borderId="1" applyAlignment="1" pivotButton="0" quotePrefix="0" xfId="0">
      <alignment horizontal="center" vertical="center"/>
    </xf>
    <xf numFmtId="164" fontId="6" fillId="6" borderId="0" pivotButton="0" quotePrefix="0" xfId="0"/>
    <xf numFmtId="164" fontId="9" fillId="7" borderId="1" applyAlignment="1" pivotButton="0" quotePrefix="0" xfId="0">
      <alignment horizontal="center" vertical="center"/>
    </xf>
    <xf numFmtId="164" fontId="8" fillId="7" borderId="1" applyAlignment="1" pivotButton="0" quotePrefix="0" xfId="0">
      <alignment horizontal="center" vertical="center"/>
    </xf>
    <xf numFmtId="164" fontId="9" fillId="8" borderId="1" applyAlignment="1" pivotButton="0" quotePrefix="0" xfId="0">
      <alignment horizontal="center" vertical="center"/>
    </xf>
    <xf numFmtId="165" fontId="7" fillId="5" borderId="2" applyAlignment="1" applyProtection="1" pivotButton="0" quotePrefix="0" xfId="0">
      <alignment horizontal="center" vertical="center"/>
      <protection locked="0" hidden="0"/>
    </xf>
    <xf numFmtId="164" fontId="7" fillId="5" borderId="2" applyAlignment="1" applyProtection="1" pivotButton="0" quotePrefix="0" xfId="0">
      <alignment horizontal="center" vertical="center"/>
      <protection locked="0" hidden="0"/>
    </xf>
    <xf numFmtId="1" fontId="7" fillId="5" borderId="2" applyAlignment="1" applyProtection="1" pivotButton="0" quotePrefix="0" xfId="0">
      <alignment horizontal="center" vertical="center"/>
      <protection locked="0" hidden="0"/>
    </xf>
    <xf numFmtId="9" fontId="7" fillId="5" borderId="2" applyAlignment="1" applyProtection="1" pivotButton="0" quotePrefix="0" xfId="0">
      <alignment horizontal="center" vertical="center"/>
      <protection locked="0" hidden="0"/>
    </xf>
    <xf numFmtId="0" fontId="10" fillId="4" borderId="1" applyAlignment="1" pivotButton="0" quotePrefix="0" xfId="0">
      <alignment horizontal="left" vertical="center"/>
    </xf>
    <xf numFmtId="166" fontId="11" fillId="10" borderId="3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ont>
        <name val="Calibri"/>
        <b val="1"/>
        <color rgb="00C8102E"/>
      </font>
      <fill>
        <patternFill patternType="solid">
          <fgColor rgb="00FFF0F2"/>
        </patternFill>
      </fill>
    </dxf>
    <dxf>
      <font>
        <name val="Calibri"/>
        <b val="1"/>
        <color rgb="00007A4C"/>
      </font>
      <fill>
        <patternFill patternType="solid">
          <fgColor rgb="00E6F7F0"/>
        </patternFill>
      </fill>
    </dxf>
    <dxf>
      <font>
        <name val="Calibri"/>
        <b val="1"/>
        <color rgb="00007A4C"/>
        <sz val="13"/>
      </font>
      <fill>
        <patternFill patternType="solid">
          <fgColor rgb="00E6F7F0"/>
        </patternFill>
      </fill>
    </dxf>
    <dxf>
      <font>
        <name val="Calibri"/>
        <b val="1"/>
        <color rgb="00C8102E"/>
        <sz val="13"/>
      </font>
      <fill>
        <patternFill patternType="solid">
          <fgColor rgb="00FFF0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3-Year Revenue Projection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'ROI Calculator'!F31</f>
            </strRef>
          </tx>
          <spPr>
            <a:solidFill xmlns:a="http://schemas.openxmlformats.org/drawingml/2006/main">
              <a:srgbClr val="C8102E"/>
            </a:solidFill>
            <a:ln xmlns:a="http://schemas.openxmlformats.org/drawingml/2006/main">
              <a:solidFill>
                <a:srgbClr val="9E0C24"/>
              </a:solidFill>
              <a:prstDash val="solid"/>
            </a:ln>
          </spPr>
          <cat>
            <numRef>
              <f>'ROI Calculator'!$E$32:$E$34</f>
            </numRef>
          </cat>
          <val>
            <numRef>
              <f>'ROI Calculator'!$F$32:$F$34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21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F3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4" customWidth="1" min="2" max="2"/>
    <col width="22" customWidth="1" min="3" max="3"/>
    <col width="5" customWidth="1" min="4" max="4"/>
    <col width="34" customWidth="1" min="5" max="5"/>
    <col width="22" customWidth="1" min="6" max="6"/>
    <col width="2" customWidth="1" min="7" max="7"/>
  </cols>
  <sheetData>
    <row r="1" ht="36" customHeight="1">
      <c r="B1" s="1" t="inlineStr">
        <is>
          <t>AXRAH  —  Investment ROI Calculator</t>
        </is>
      </c>
    </row>
    <row r="2" ht="22" customHeight="1">
      <c r="B2" s="2" t="inlineStr">
        <is>
          <t>Enter your inputs in the yellow cells. All other cells calculate automatically.  |  Confidential — for client use only</t>
        </is>
      </c>
    </row>
    <row r="3" ht="10" customHeight="1"/>
    <row r="4" ht="20" customHeight="1">
      <c r="B4" s="3" t="inlineStr">
        <is>
          <t xml:space="preserve">  DEVICE SELECTION</t>
        </is>
      </c>
      <c r="E4" s="4" t="inlineStr">
        <is>
          <t xml:space="preserve">  MONTHLY METRICS</t>
        </is>
      </c>
    </row>
    <row r="5" ht="18" customHeight="1">
      <c r="B5" s="5" t="inlineStr">
        <is>
          <t>Select device</t>
        </is>
      </c>
      <c r="C5" s="6" t="inlineStr">
        <is>
          <t>Chamber Ultra — $26,999</t>
        </is>
      </c>
      <c r="E5" s="5" t="inlineStr">
        <is>
          <t>Sessions per month</t>
        </is>
      </c>
      <c r="F5" s="7">
        <f>ROUND(C11*C13*C12*4.33,0)</f>
        <v/>
      </c>
    </row>
    <row r="6" ht="4" customHeight="1">
      <c r="C6" s="8">
        <f>IF(C5="Chamber — $16,999",16999,26999)</f>
        <v/>
      </c>
      <c r="E6" s="5" t="inlineStr">
        <is>
          <t>Monthly revenue</t>
        </is>
      </c>
      <c r="F6" s="9">
        <f>F5*C9</f>
        <v/>
      </c>
    </row>
    <row r="7" ht="8" customHeight="1">
      <c r="E7" s="5" t="inlineStr">
        <is>
          <t>Monthly operating costs</t>
        </is>
      </c>
      <c r="F7" s="10">
        <f>C10</f>
        <v/>
      </c>
    </row>
    <row r="8" ht="20" customHeight="1">
      <c r="B8" s="3" t="inlineStr">
        <is>
          <t xml:space="preserve">  YOUR INPUTS  —  change any yellow cell</t>
        </is>
      </c>
      <c r="E8" s="5" t="inlineStr">
        <is>
          <t>Monthly profit</t>
        </is>
      </c>
      <c r="F8" s="11">
        <f>F6-F7</f>
        <v/>
      </c>
    </row>
    <row r="9" ht="18" customHeight="1">
      <c r="B9" s="5" t="inlineStr">
        <is>
          <t>Price per session ($)</t>
        </is>
      </c>
      <c r="C9" s="12" t="n">
        <v>75</v>
      </c>
      <c r="E9" s="5" t="inlineStr">
        <is>
          <t>Clients served / month</t>
        </is>
      </c>
      <c r="F9" s="7">
        <f>IFERROR(ROUND(F5/C14,0),0)</f>
        <v/>
      </c>
    </row>
    <row r="10" ht="8" customHeight="1">
      <c r="B10" s="5" t="inlineStr">
        <is>
          <t>Monthly operating costs ($)</t>
        </is>
      </c>
      <c r="C10" s="13" t="n">
        <v>200</v>
      </c>
    </row>
    <row r="11" ht="20" customHeight="1">
      <c r="B11" s="5" t="inlineStr">
        <is>
          <t>Sessions per day</t>
        </is>
      </c>
      <c r="C11" s="14" t="n">
        <v>6</v>
      </c>
      <c r="E11" s="4" t="inlineStr">
        <is>
          <t xml:space="preserve">  PAYBACK PERIOD</t>
        </is>
      </c>
    </row>
    <row r="12" ht="18" customHeight="1">
      <c r="B12" s="5" t="inlineStr">
        <is>
          <t>Days open per week</t>
        </is>
      </c>
      <c r="C12" s="14" t="n">
        <v>5</v>
      </c>
      <c r="E12" s="5" t="inlineStr">
        <is>
          <t>Device cost</t>
        </is>
      </c>
      <c r="F12" s="10">
        <f>C6</f>
        <v/>
      </c>
    </row>
    <row r="13" ht="18" customHeight="1">
      <c r="B13" s="5" t="inlineStr">
        <is>
          <t>Occupancy rate (%)</t>
        </is>
      </c>
      <c r="C13" s="15" t="n">
        <v>0.65</v>
      </c>
      <c r="E13" s="16" t="inlineStr">
        <is>
          <t>Payback period (months)</t>
        </is>
      </c>
      <c r="F13" s="17">
        <f>IFERROR(IF(F8&gt;0,CEILING(C6/F8,0.5),"N/A — check inputs"),"N/A")</f>
        <v/>
      </c>
    </row>
    <row r="14" ht="8" customHeight="1">
      <c r="B14" s="5" t="inlineStr">
        <is>
          <t>Avg sessions per client / month</t>
        </is>
      </c>
      <c r="C14" s="14" t="n">
        <v>4</v>
      </c>
    </row>
    <row r="15" ht="20" customHeight="1">
      <c r="E15" s="4" t="inlineStr">
        <is>
          <t xml:space="preserve">  ANNUAL METRICS</t>
        </is>
      </c>
    </row>
    <row r="16" ht="8" customHeight="1">
      <c r="E16" s="5" t="inlineStr">
        <is>
          <t>Annual revenue</t>
        </is>
      </c>
      <c r="F16" s="9">
        <f>F6*12</f>
        <v/>
      </c>
    </row>
    <row r="17" ht="20" customHeight="1">
      <c r="B17" s="3" t="inlineStr">
        <is>
          <t xml:space="preserve">  LEGEND</t>
        </is>
      </c>
      <c r="E17" s="5" t="inlineStr">
        <is>
          <t>Annual operating costs</t>
        </is>
      </c>
      <c r="F17" s="10">
        <f>F7*12</f>
        <v/>
      </c>
    </row>
    <row r="18" ht="17" customHeight="1">
      <c r="B18" s="18" t="inlineStr">
        <is>
          <t xml:space="preserve">  Yellow = input cell — edit freely</t>
        </is>
      </c>
      <c r="E18" s="5" t="inlineStr">
        <is>
          <t>Annual gross profit</t>
        </is>
      </c>
      <c r="F18" s="11">
        <f>F16-F17</f>
        <v/>
      </c>
    </row>
    <row r="19" ht="8" customHeight="1">
      <c r="B19" s="19" t="inlineStr">
        <is>
          <t xml:space="preserve">  Blue   = calculated automatically</t>
        </is>
      </c>
    </row>
    <row r="20" ht="20" customHeight="1">
      <c r="B20" s="20" t="inlineStr">
        <is>
          <t xml:space="preserve">  Green  = profit / positive return</t>
        </is>
      </c>
      <c r="E20" s="4" t="inlineStr">
        <is>
          <t xml:space="preserve">  3-YEAR PROJECTION  (cumulative revenue)</t>
        </is>
      </c>
    </row>
    <row r="21" ht="18" customHeight="1">
      <c r="E21" s="5" t="inlineStr">
        <is>
          <t>Year 1 — revenue</t>
        </is>
      </c>
      <c r="F21" s="10">
        <f>F16</f>
        <v/>
      </c>
    </row>
    <row r="22" ht="18" customHeight="1">
      <c r="E22" s="5" t="inlineStr">
        <is>
          <t>Year 2 — revenue</t>
        </is>
      </c>
      <c r="F22" s="10">
        <f>F16*2</f>
        <v/>
      </c>
    </row>
    <row r="23" ht="18" customHeight="1">
      <c r="E23" s="5" t="inlineStr">
        <is>
          <t>Year 3 — revenue</t>
        </is>
      </c>
      <c r="F23" s="9">
        <f>F16*3</f>
        <v/>
      </c>
    </row>
    <row r="24" ht="8" customHeight="1"/>
    <row r="25" ht="20" customHeight="1">
      <c r="E25" s="4" t="inlineStr">
        <is>
          <t xml:space="preserve">  NET PROFIT AFTER DEVICE COST</t>
        </is>
      </c>
    </row>
    <row r="26" ht="18" customHeight="1">
      <c r="E26" s="5" t="inlineStr">
        <is>
          <t>Year 1 net profit</t>
        </is>
      </c>
      <c r="F26" s="10">
        <f>F18-C6</f>
        <v/>
      </c>
    </row>
    <row r="27" ht="18" customHeight="1">
      <c r="E27" s="5" t="inlineStr">
        <is>
          <t>Year 2 net profit</t>
        </is>
      </c>
      <c r="F27" s="11">
        <f>F18*2-C6</f>
        <v/>
      </c>
    </row>
    <row r="28" ht="18" customHeight="1">
      <c r="E28" s="5" t="inlineStr">
        <is>
          <t>Year 3 net profit</t>
        </is>
      </c>
      <c r="F28" s="11">
        <f>F18*3-C6</f>
        <v/>
      </c>
    </row>
    <row r="29" ht="18" customHeight="1"/>
    <row r="30" ht="18" customHeight="1"/>
    <row r="31" customHeight="1">
      <c r="E31" t="inlineStr">
        <is>
          <t>Year</t>
        </is>
      </c>
      <c r="F31" t="inlineStr">
        <is>
          <t>Cumulative Revenue</t>
        </is>
      </c>
    </row>
    <row r="32" customHeight="1">
      <c r="E32" t="inlineStr">
        <is>
          <t>Year 1</t>
        </is>
      </c>
      <c r="F32">
        <f>F16</f>
        <v/>
      </c>
    </row>
    <row r="33" customHeight="1">
      <c r="E33" t="inlineStr">
        <is>
          <t>Year 2</t>
        </is>
      </c>
      <c r="F33">
        <f>F16*2</f>
        <v/>
      </c>
    </row>
    <row r="34" customHeight="1">
      <c r="E34" t="inlineStr">
        <is>
          <t>Year 3</t>
        </is>
      </c>
      <c r="F34">
        <f>F16*3</f>
        <v/>
      </c>
    </row>
    <row r="35" ht="18" customHeight="1"/>
    <row r="36" ht="18" customHeight="1"/>
    <row r="37" ht="8" customHeight="1"/>
    <row r="38" ht="28" customHeight="1">
      <c r="B38" s="21" t="inlineStr">
        <is>
          <t>Formula: Monthly revenue = sessions/day × occupancy × days/week × 4.33 × session price.  Profit = revenue − operating costs.  Payback = device cost ÷ monthly profit.  Net profit deducts full device cost in Year 1.  All figures are estimates for planning purposes only. Actual results will vary.  © AXRAH 2026</t>
        </is>
      </c>
    </row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14">
    <mergeCell ref="E4:F4"/>
    <mergeCell ref="E20:F20"/>
    <mergeCell ref="B38:F38"/>
    <mergeCell ref="B2:F2"/>
    <mergeCell ref="E15:F15"/>
    <mergeCell ref="E25:F25"/>
    <mergeCell ref="B19:C19"/>
    <mergeCell ref="B20:C20"/>
    <mergeCell ref="E11:F11"/>
    <mergeCell ref="B1:F1"/>
    <mergeCell ref="B17:C17"/>
    <mergeCell ref="B18:C18"/>
    <mergeCell ref="B8:C8"/>
    <mergeCell ref="B4:C4"/>
  </mergeCells>
  <conditionalFormatting sqref="F26">
    <cfRule type="cellIs" priority="1" operator="lessThan" dxfId="0">
      <formula>0</formula>
    </cfRule>
  </conditionalFormatting>
  <conditionalFormatting sqref="F26:F28">
    <cfRule type="cellIs" priority="2" operator="greaterThanOrEqual" dxfId="1">
      <formula>0</formula>
    </cfRule>
  </conditionalFormatting>
  <conditionalFormatting sqref="F13">
    <cfRule type="cellIs" priority="3" operator="lessThanOrEqual" dxfId="2">
      <formula>12</formula>
    </cfRule>
    <cfRule type="cellIs" priority="4" operator="greaterThan" dxfId="3">
      <formula>24</formula>
    </cfRule>
  </conditionalFormatting>
  <dataValidations count="7">
    <dataValidation sqref="C5" showDropDown="0" showInputMessage="0" showErrorMessage="1" allowBlank="0" errorTitle="Invalid selection" error="Please choose from the dropdown list." type="list">
      <formula1>"Chamber — $16,999,Chamber Ultra — $26,999"</formula1>
    </dataValidation>
    <dataValidation sqref="C9" showDropDown="0" showInputMessage="0" showErrorMessage="1" allowBlank="0" errorTitle="Out of range" error="Enter a session price between $1 and $500" type="decimal" operator="between">
      <formula1>1</formula1>
      <formula2>500</formula2>
    </dataValidation>
    <dataValidation sqref="C10" showDropDown="0" showInputMessage="0" showErrorMessage="1" allowBlank="0" errorTitle="Out of range" error="Enter monthly operating costs" type="decimal" operator="between">
      <formula1>0</formula1>
      <formula2>50000</formula2>
    </dataValidation>
    <dataValidation sqref="C11" showDropDown="0" showInputMessage="0" showErrorMessage="1" allowBlank="0" errorTitle="Out of range" error="Enter sessions per day (1–30)" type="decimal" operator="between">
      <formula1>1</formula1>
      <formula2>30</formula2>
    </dataValidation>
    <dataValidation sqref="C12" showDropDown="0" showInputMessage="0" showErrorMessage="1" allowBlank="0" errorTitle="Out of range" error="Enter days per week (1–7)" type="decimal" operator="between">
      <formula1>1</formula1>
      <formula2>7</formula2>
    </dataValidation>
    <dataValidation sqref="C13" showDropDown="0" showInputMessage="0" showErrorMessage="1" allowBlank="0" errorTitle="Out of range" error="Enter occupancy as a decimal, e.g. 0.65 for 65%" type="decimal" operator="between">
      <formula1>0.05</formula1>
      <formula2>1.0</formula2>
    </dataValidation>
    <dataValidation sqref="C14" showDropDown="0" showInputMessage="0" showErrorMessage="1" allowBlank="0" errorTitle="Out of range" error="Enter average sessions per client per month" type="decimal" operator="between">
      <formula1>1</formula1>
      <formula2>30</formula2>
    </dataValidation>
  </dataValidation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2026-05-26T23:49:18Z</dcterms:created>
  <dcterms:modified xmlns:dcterms="http://purl.org/dc/terms/" xmlns:xsi="http://www.w3.org/2001/XMLSchema-instance" xsi:type="dcterms:W3CDTF">2026-05-26T23:49:18Z</dcterms:modified>
</cp:coreProperties>
</file>